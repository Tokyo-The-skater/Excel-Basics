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_m1_47/Desktop/Excel Exercises /"/>
    </mc:Choice>
  </mc:AlternateContent>
  <xr:revisionPtr revIDLastSave="0" documentId="13_ncr:1_{1F10AB37-897A-4642-84C6-9ECDB1F7D8A7}" xr6:coauthVersionLast="47" xr6:coauthVersionMax="47" xr10:uidLastSave="{00000000-0000-0000-0000-000000000000}"/>
  <bookViews>
    <workbookView xWindow="0" yWindow="0" windowWidth="33600" windowHeight="21000" xr2:uid="{00000000-000D-0000-FFFF-FFFF00000000}"/>
  </bookViews>
  <sheets>
    <sheet name="Problem" sheetId="1" r:id="rId1"/>
    <sheet name="Reference Table" sheetId="2" r:id="rId2"/>
    <sheet name="ProblemQ" sheetId="3" r:id="rId3"/>
  </sheets>
  <definedNames>
    <definedName name="Chips">'Reference Table'!$C$7:$C$12</definedName>
    <definedName name="Drinks">'Reference Table'!$B$7:$B$12</definedName>
    <definedName name="ExternalData_1" localSheetId="0">Problem!#REF!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8" roundtripDataChecksum="QkVRDv0mOLmGCKWazqLZqG5dwJ0lwoAXcNRyCas/BgM="/>
    </ext>
  </extLst>
</workbook>
</file>

<file path=xl/calcChain.xml><?xml version="1.0" encoding="utf-8"?>
<calcChain xmlns="http://schemas.openxmlformats.org/spreadsheetml/2006/main">
  <c r="C31" i="1" l="1"/>
  <c r="E19" i="1"/>
  <c r="E20" i="1"/>
  <c r="E21" i="1"/>
  <c r="E22" i="1"/>
  <c r="E23" i="1"/>
  <c r="E18" i="1"/>
  <c r="D19" i="1"/>
  <c r="D20" i="1"/>
  <c r="D21" i="1"/>
  <c r="D22" i="1"/>
  <c r="D23" i="1"/>
  <c r="D18" i="1"/>
  <c r="C19" i="1"/>
  <c r="C20" i="1"/>
  <c r="C21" i="1"/>
  <c r="C22" i="1"/>
  <c r="C23" i="1"/>
  <c r="C18" i="1"/>
  <c r="F91" i="1"/>
</calcChain>
</file>

<file path=xl/sharedStrings.xml><?xml version="1.0" encoding="utf-8"?>
<sst xmlns="http://schemas.openxmlformats.org/spreadsheetml/2006/main" count="231" uniqueCount="138">
  <si>
    <t>Advanced Excel Exercises</t>
  </si>
  <si>
    <t>Problem 01: Separate First, Middle, and Last Name</t>
  </si>
  <si>
    <t>Name</t>
  </si>
  <si>
    <t>First Name</t>
  </si>
  <si>
    <t>Middle Name</t>
  </si>
  <si>
    <t>Last Name</t>
  </si>
  <si>
    <t>Mary Elizabeth Smith</t>
  </si>
  <si>
    <t>Ross James Geller</t>
  </si>
  <si>
    <t>Natasha Yvone Romanoff</t>
  </si>
  <si>
    <t>William Jackson Harper</t>
  </si>
  <si>
    <t>Marco Van Basten</t>
  </si>
  <si>
    <t>Diego Garcia Lopez</t>
  </si>
  <si>
    <t>Problem 02: Generate Random Number from Range</t>
  </si>
  <si>
    <t>Subject Marks</t>
  </si>
  <si>
    <t>Chemistry</t>
  </si>
  <si>
    <t>Physics</t>
  </si>
  <si>
    <t>English</t>
  </si>
  <si>
    <t>Problem 03: Find Distance Between Two Addresses</t>
  </si>
  <si>
    <t>State</t>
  </si>
  <si>
    <t>Latitude</t>
  </si>
  <si>
    <t>Longitude</t>
  </si>
  <si>
    <t>Ohio</t>
  </si>
  <si>
    <t>Alaska</t>
  </si>
  <si>
    <t>Distance (Kilometers)</t>
  </si>
  <si>
    <t>Problem 04: Insert Picture from URL</t>
  </si>
  <si>
    <t>Number</t>
  </si>
  <si>
    <t>Link</t>
  </si>
  <si>
    <t>Image</t>
  </si>
  <si>
    <t>Problem 05: Create Dependent Dropdown List</t>
  </si>
  <si>
    <t>Category</t>
  </si>
  <si>
    <t>Item</t>
  </si>
  <si>
    <t>Drinks</t>
  </si>
  <si>
    <t>Chips</t>
  </si>
  <si>
    <t>Problem 06: Find Duplicate Rows</t>
  </si>
  <si>
    <t>Gender</t>
  </si>
  <si>
    <t>Rachel Green</t>
  </si>
  <si>
    <t>Female</t>
  </si>
  <si>
    <t>New Mexico</t>
  </si>
  <si>
    <t>Ross Geller</t>
  </si>
  <si>
    <t>Male</t>
  </si>
  <si>
    <t>Mississippi</t>
  </si>
  <si>
    <t>Joey Tribbiani</t>
  </si>
  <si>
    <t>Texas</t>
  </si>
  <si>
    <t>Chandler Bing</t>
  </si>
  <si>
    <t>California</t>
  </si>
  <si>
    <t>Ben Van Lier</t>
  </si>
  <si>
    <t>Colorado</t>
  </si>
  <si>
    <t>Adam King</t>
  </si>
  <si>
    <t>Washington</t>
  </si>
  <si>
    <t>Problem 07: Combine Duplicate Rows without Losing Data</t>
  </si>
  <si>
    <t>Car Maker</t>
  </si>
  <si>
    <t>Car Model</t>
  </si>
  <si>
    <t>Anthony</t>
  </si>
  <si>
    <t>BMW</t>
  </si>
  <si>
    <t>7 Series</t>
  </si>
  <si>
    <t>Ronald</t>
  </si>
  <si>
    <t>Toyota</t>
  </si>
  <si>
    <t>Camry</t>
  </si>
  <si>
    <t>Timothy</t>
  </si>
  <si>
    <t>Lincoln</t>
  </si>
  <si>
    <t>Town Car</t>
  </si>
  <si>
    <t>David</t>
  </si>
  <si>
    <t>Ford</t>
  </si>
  <si>
    <t>Taurus</t>
  </si>
  <si>
    <t>Corolla</t>
  </si>
  <si>
    <t>Continental</t>
  </si>
  <si>
    <t>Problem 08: Unhide Rows Within Range</t>
  </si>
  <si>
    <t>Problem 09: Transpose Rows to Columns Using Power Query</t>
  </si>
  <si>
    <t>Problem 10: Create Meter Chart</t>
  </si>
  <si>
    <t>Meter Chart</t>
  </si>
  <si>
    <t>Pointer</t>
  </si>
  <si>
    <t>Start</t>
  </si>
  <si>
    <t>Value</t>
  </si>
  <si>
    <t>Initial</t>
  </si>
  <si>
    <t>Middle</t>
  </si>
  <si>
    <t>End</t>
  </si>
  <si>
    <t>Max</t>
  </si>
  <si>
    <t>Reference Tables</t>
  </si>
  <si>
    <t>Problem 07</t>
  </si>
  <si>
    <t>Pepsi</t>
  </si>
  <si>
    <t>Lays</t>
  </si>
  <si>
    <t>Cocacola</t>
  </si>
  <si>
    <t>Sun</t>
  </si>
  <si>
    <t>Mountain Dew</t>
  </si>
  <si>
    <t>Doritos</t>
  </si>
  <si>
    <t>Sprite</t>
  </si>
  <si>
    <t>Ruffles</t>
  </si>
  <si>
    <t>7 Up</t>
  </si>
  <si>
    <t>Fritos</t>
  </si>
  <si>
    <t>Dr Pepper</t>
  </si>
  <si>
    <t>Parm Crisps</t>
  </si>
  <si>
    <r>
      <rPr>
        <b/>
        <sz val="17"/>
        <color rgb="FF800000"/>
        <rFont val="Inherit"/>
      </rPr>
      <t>Problem 01 Separate First, Middle, and Last Name:</t>
    </r>
    <r>
      <rPr>
        <sz val="17"/>
        <color rgb="FF333333"/>
        <rFont val="Helvetica Neue"/>
        <family val="2"/>
      </rPr>
      <t> You need to split the first, middle, and last name from the full name using a formula.</t>
    </r>
  </si>
  <si>
    <r>
      <rPr>
        <sz val="17"/>
        <color rgb="FF333333"/>
        <rFont val="Helvetica Neue"/>
        <family val="2"/>
      </rPr>
      <t>Firstly, you will need to use the </t>
    </r>
    <r>
      <rPr>
        <b/>
        <sz val="17"/>
        <color rgb="FF2A5DB0"/>
        <rFont val="Inherit"/>
      </rPr>
      <t>LEFT</t>
    </r>
    <r>
      <rPr>
        <sz val="17"/>
        <color rgb="FF333333"/>
        <rFont val="Helvetica Neue"/>
        <family val="2"/>
      </rPr>
      <t>, </t>
    </r>
    <r>
      <rPr>
        <b/>
        <sz val="17"/>
        <color rgb="FF2A5DB0"/>
        <rFont val="Inherit"/>
      </rPr>
      <t>SEARCH</t>
    </r>
    <r>
      <rPr>
        <sz val="17"/>
        <color rgb="FF333333"/>
        <rFont val="Helvetica Neue"/>
        <family val="2"/>
      </rPr>
      <t>, </t>
    </r>
    <r>
      <rPr>
        <b/>
        <sz val="17"/>
        <color rgb="FF2A5DB0"/>
        <rFont val="Inherit"/>
      </rPr>
      <t>MID</t>
    </r>
    <r>
      <rPr>
        <sz val="17"/>
        <color rgb="FF333333"/>
        <rFont val="Helvetica Neue"/>
        <family val="2"/>
      </rPr>
      <t>, </t>
    </r>
    <r>
      <rPr>
        <b/>
        <sz val="17"/>
        <color rgb="FF2A5DB0"/>
        <rFont val="Inherit"/>
      </rPr>
      <t>RIGHT</t>
    </r>
    <r>
      <rPr>
        <sz val="17"/>
        <color rgb="FF333333"/>
        <rFont val="Helvetica Neue"/>
        <family val="2"/>
      </rPr>
      <t>, </t>
    </r>
    <r>
      <rPr>
        <b/>
        <sz val="17"/>
        <color rgb="FF2A5DB0"/>
        <rFont val="Inherit"/>
      </rPr>
      <t>LEN</t>
    </r>
    <r>
      <rPr>
        <sz val="17"/>
        <color rgb="FF333333"/>
        <rFont val="Helvetica Neue"/>
        <family val="2"/>
      </rPr>
      <t>, </t>
    </r>
    <r>
      <rPr>
        <b/>
        <sz val="17"/>
        <color rgb="FF2A5DB0"/>
        <rFont val="Inherit"/>
      </rPr>
      <t>SUBSTITUTE</t>
    </r>
    <r>
      <rPr>
        <sz val="17"/>
        <color rgb="FF333333"/>
        <rFont val="Helvetica Neue"/>
        <family val="2"/>
      </rPr>
      <t>, and </t>
    </r>
    <r>
      <rPr>
        <b/>
        <sz val="17"/>
        <color rgb="FF2A5DB0"/>
        <rFont val="Inherit"/>
      </rPr>
      <t>FIND </t>
    </r>
    <r>
      <rPr>
        <sz val="17"/>
        <color rgb="FF333333"/>
        <rFont val="Helvetica Neue"/>
        <family val="2"/>
      </rPr>
      <t>functions to solve this problem.</t>
    </r>
  </si>
  <si>
    <t>The following animated image shows the formula to separate the first name from the full name.</t>
  </si>
  <si>
    <t>Problem 02 Generate Random Number from Range:</t>
  </si>
  <si>
    <t>Secondly, you will type a VBA code to return random numbers that have the lowest value 50, highest value 90.</t>
  </si>
  <si>
    <t>Problem 03 Find Distance Between Two Addresses:</t>
  </si>
  <si>
    <t>The coordinates between two addresses are known. You will use the Haversine formula to find the distance.</t>
  </si>
  <si>
    <t>Problem 04 Insert Picture from URL:</t>
  </si>
  <si>
    <t>Fourthly, you will insert an image as a shape in a cell from a URL using VBA.</t>
  </si>
  <si>
    <t>Problem 05 Create Dependent Dropdown List:</t>
  </si>
  <si>
    <r>
      <rPr>
        <sz val="17"/>
        <color rgb="FF333333"/>
        <rFont val="Helvetica Neue"/>
        <family val="2"/>
      </rPr>
      <t>Then, your task is to create a dependent data validation list using </t>
    </r>
    <r>
      <rPr>
        <b/>
        <sz val="17"/>
        <color rgb="FF2A5DB0"/>
        <rFont val="Inherit"/>
      </rPr>
      <t>the INDIRECT function</t>
    </r>
    <r>
      <rPr>
        <sz val="17"/>
        <color rgb="FF333333"/>
        <rFont val="Helvetica Neue"/>
        <family val="2"/>
      </rPr>
      <t> and </t>
    </r>
    <r>
      <rPr>
        <b/>
        <sz val="17"/>
        <color rgb="FF2A5DB0"/>
        <rFont val="Inherit"/>
      </rPr>
      <t>Named Range</t>
    </r>
    <r>
      <rPr>
        <sz val="17"/>
        <color rgb="FF333333"/>
        <rFont val="Helvetica Neue"/>
        <family val="2"/>
      </rPr>
      <t>.</t>
    </r>
  </si>
  <si>
    <t>Problem 06 Find Duplicate Rows:</t>
  </si>
  <si>
    <t>Afterward, you will highlight the duplicate rows in a range using VBA.</t>
  </si>
  <si>
    <t>Problem 07 Combine Duplicate Rows without Losing Data: </t>
  </si>
  <si>
    <r>
      <rPr>
        <sz val="17"/>
        <color rgb="FF333333"/>
        <rFont val="Helvetica Neue"/>
        <family val="2"/>
      </rPr>
      <t>Then, your task is to combine duplicate rows using the </t>
    </r>
    <r>
      <rPr>
        <b/>
        <sz val="17"/>
        <color rgb="FF2A5DB0"/>
        <rFont val="Inherit"/>
      </rPr>
      <t>UNIQUE</t>
    </r>
    <r>
      <rPr>
        <sz val="17"/>
        <color rgb="FF333333"/>
        <rFont val="Helvetica Neue"/>
        <family val="2"/>
      </rPr>
      <t>, and </t>
    </r>
    <r>
      <rPr>
        <b/>
        <sz val="17"/>
        <color rgb="FF2A5DB0"/>
        <rFont val="Inherit"/>
      </rPr>
      <t>TEXTJOIN </t>
    </r>
    <r>
      <rPr>
        <sz val="17"/>
        <color rgb="FF333333"/>
        <rFont val="Helvetica Neue"/>
        <family val="2"/>
      </rPr>
      <t>You will need Microsoft 365 to solve this.</t>
    </r>
  </si>
  <si>
    <r>
      <rPr>
        <b/>
        <sz val="17"/>
        <color rgb="FF800000"/>
        <rFont val="Inherit"/>
      </rPr>
      <t>Problem 08 Unhide Rows Within Range:</t>
    </r>
    <r>
      <rPr>
        <b/>
        <sz val="17"/>
        <color rgb="FF333333"/>
        <rFont val="Inherit"/>
      </rPr>
      <t> </t>
    </r>
  </si>
  <si>
    <t>After that, you will reveal the hidden rows with a specified range using VBA.</t>
  </si>
  <si>
    <t>Problem 09 Transpose Rows to Columns Using Power Query:</t>
  </si>
  <si>
    <r>
      <rPr>
        <sz val="17"/>
        <color rgb="FF333333"/>
        <rFont val="Helvetica Neue"/>
        <family val="2"/>
      </rPr>
      <t>Then, your objective is to transpose rows to columns by applying the </t>
    </r>
    <r>
      <rPr>
        <b/>
        <sz val="17"/>
        <color rgb="FF333333"/>
        <rFont val="Inherit"/>
      </rPr>
      <t>Power Query</t>
    </r>
    <r>
      <rPr>
        <sz val="17"/>
        <color rgb="FF333333"/>
        <rFont val="Helvetica Neue"/>
        <family val="2"/>
      </rPr>
      <t>.</t>
    </r>
  </si>
  <si>
    <t>Problem 10 Create Meter Chart:</t>
  </si>
  <si>
    <t>Finally, the exercise 10 is to prepare a meter chart in Excel using the known data points.</t>
  </si>
  <si>
    <t>Mary</t>
  </si>
  <si>
    <t>Elizabeth</t>
  </si>
  <si>
    <t>Smith</t>
  </si>
  <si>
    <t>Ross</t>
  </si>
  <si>
    <t>James</t>
  </si>
  <si>
    <t>Geller</t>
  </si>
  <si>
    <t>Natasha</t>
  </si>
  <si>
    <t>Yvone</t>
  </si>
  <si>
    <t>Romanoff</t>
  </si>
  <si>
    <t>William</t>
  </si>
  <si>
    <t>Jackson</t>
  </si>
  <si>
    <t>Harper</t>
  </si>
  <si>
    <t>Marco</t>
  </si>
  <si>
    <t>Van</t>
  </si>
  <si>
    <t>Basten</t>
  </si>
  <si>
    <t>Diego</t>
  </si>
  <si>
    <t>Garcia</t>
  </si>
  <si>
    <t>Lopez</t>
  </si>
  <si>
    <t>Name Car Maker Car Model</t>
  </si>
  <si>
    <t>Ronald Toyota Camry</t>
  </si>
  <si>
    <t>Timoty Lincoln Town Car</t>
  </si>
  <si>
    <t>Ronald Toyota Corolla</t>
  </si>
  <si>
    <t>Timoty Lincoln Continental</t>
  </si>
  <si>
    <t>https://www.takealot.com/mv9922-ecco-2-1-home-theater-speaker/PLID71381330</t>
  </si>
  <si>
    <t>https://www.takealot.com/lg-lhd687-4-2-channel-1250w-sound-tower-with-dual-subwoofers/PLID71885024</t>
  </si>
  <si>
    <t>https://www.takealot.com/supersonic-5-1-ch-speaker-system-surround-sound-bluetooth-usb-fm-tf-spk-672/PLID72052814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</si>
</sst>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Calibri"/>
      <scheme val="minor"/>
    </font>
    <font>
      <sz val="12"/>
      <color theme="1"/>
      <name val="Calibri"/>
      <family val="2"/>
    </font>
    <font>
      <b/>
      <sz val="16"/>
      <color rgb="FF44546A"/>
      <name val="Calibri"/>
      <family val="2"/>
    </font>
    <font>
      <sz val="11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b/>
      <sz val="14"/>
      <color theme="1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b/>
      <sz val="17"/>
      <color rgb="FF800000"/>
      <name val="Inherit"/>
    </font>
    <font>
      <sz val="17"/>
      <color rgb="FF333333"/>
      <name val="Helvetica Neue"/>
      <family val="2"/>
    </font>
    <font>
      <b/>
      <sz val="17"/>
      <color rgb="FF2A5DB0"/>
      <name val="Inherit"/>
    </font>
    <font>
      <b/>
      <sz val="17"/>
      <color rgb="FF333333"/>
      <name val="Inherit"/>
    </font>
    <font>
      <b/>
      <sz val="12"/>
      <color theme="1"/>
      <name val="Calibri"/>
      <family val="2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  <fill>
      <patternFill patternType="solid">
        <fgColor rgb="FFFFCDFB"/>
        <bgColor rgb="FFFFCDFB"/>
      </patternFill>
    </fill>
    <fill>
      <patternFill patternType="solid">
        <fgColor rgb="FFCDEEFF"/>
        <bgColor rgb="FFCDEEFF"/>
      </patternFill>
    </fill>
    <fill>
      <patternFill patternType="solid">
        <fgColor rgb="FFFFE598"/>
        <bgColor rgb="FFFFE598"/>
      </patternFill>
    </fill>
    <fill>
      <patternFill patternType="solid">
        <fgColor theme="0"/>
        <bgColor theme="0"/>
      </patternFill>
    </fill>
    <fill>
      <patternFill patternType="solid">
        <fgColor rgb="FFBDD6EE"/>
        <bgColor rgb="FFBDD6EE"/>
      </patternFill>
    </fill>
    <fill>
      <patternFill patternType="solid">
        <fgColor rgb="FFFFD965"/>
        <bgColor rgb="FFFFD965"/>
      </patternFill>
    </fill>
    <fill>
      <patternFill patternType="solid">
        <fgColor rgb="FFDEEAF6"/>
        <bgColor rgb="FFDEEAF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7"/>
      </bottom>
      <diagonal/>
    </border>
    <border>
      <left/>
      <right/>
      <top/>
      <bottom style="thick">
        <color theme="7"/>
      </bottom>
      <diagonal/>
    </border>
    <border>
      <left/>
      <right/>
      <top/>
      <bottom style="thick">
        <color theme="7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39">
    <xf numFmtId="0" fontId="0" fillId="0" borderId="0" xfId="0"/>
    <xf numFmtId="0" fontId="1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2" borderId="7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6" fillId="9" borderId="7" xfId="0" applyFont="1" applyFill="1" applyBorder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4" fillId="4" borderId="4" xfId="0" applyFont="1" applyFill="1" applyBorder="1" applyAlignment="1">
      <alignment horizontal="center" vertical="center"/>
    </xf>
    <xf numFmtId="0" fontId="3" fillId="0" borderId="5" xfId="0" applyFont="1" applyBorder="1"/>
    <xf numFmtId="0" fontId="3" fillId="0" borderId="6" xfId="0" applyFont="1" applyBorder="1"/>
    <xf numFmtId="0" fontId="4" fillId="3" borderId="4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2" xfId="0" applyFont="1" applyBorder="1"/>
    <xf numFmtId="0" fontId="3" fillId="0" borderId="3" xfId="0" applyFont="1" applyBorder="1"/>
    <xf numFmtId="0" fontId="4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1" fillId="10" borderId="0" xfId="0" applyFont="1" applyFill="1" applyAlignment="1">
      <alignment vertical="center"/>
    </xf>
    <xf numFmtId="0" fontId="13" fillId="11" borderId="0" xfId="0" applyFont="1" applyFill="1" applyAlignment="1">
      <alignment vertical="center"/>
    </xf>
    <xf numFmtId="0" fontId="13" fillId="12" borderId="0" xfId="0" applyFont="1" applyFill="1" applyAlignment="1">
      <alignment vertical="center"/>
    </xf>
    <xf numFmtId="0" fontId="1" fillId="12" borderId="0" xfId="0" applyFont="1" applyFill="1" applyAlignment="1">
      <alignment vertical="center"/>
    </xf>
    <xf numFmtId="0" fontId="14" fillId="0" borderId="7" xfId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akealot.com/mv9922-ecco-2-1-home-theater-speaker/PLID7138133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showGridLines="0" tabSelected="1" topLeftCell="A61" workbookViewId="0">
      <selection activeCell="D36" sqref="D36"/>
    </sheetView>
  </sheetViews>
  <sheetFormatPr baseColWidth="10" defaultColWidth="14.5" defaultRowHeight="15" customHeight="1"/>
  <cols>
    <col min="1" max="1" width="3.6640625" customWidth="1"/>
    <col min="2" max="2" width="26.5" customWidth="1"/>
    <col min="3" max="3" width="14.1640625" customWidth="1"/>
    <col min="4" max="4" width="30.83203125" customWidth="1"/>
    <col min="5" max="5" width="13.1640625" customWidth="1"/>
    <col min="6" max="6" width="25" customWidth="1"/>
    <col min="7" max="7" width="11.6640625" customWidth="1"/>
    <col min="8" max="8" width="12.33203125" customWidth="1"/>
    <col min="9" max="13" width="9.1640625" customWidth="1"/>
    <col min="14" max="14" width="5.6640625" customWidth="1"/>
    <col min="15" max="15" width="9.1640625" customWidth="1"/>
    <col min="16" max="16" width="11" customWidth="1"/>
    <col min="17" max="17" width="12.83203125" customWidth="1"/>
    <col min="18" max="26" width="9.1640625" customWidth="1"/>
  </cols>
  <sheetData>
    <row r="1" spans="1:26" ht="19.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9.5" customHeight="1">
      <c r="A2" s="1"/>
      <c r="B2" s="29" t="s">
        <v>0</v>
      </c>
      <c r="C2" s="30"/>
      <c r="D2" s="30"/>
      <c r="E2" s="3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5" customHeight="1">
      <c r="A4" s="1"/>
      <c r="B4" s="26" t="s">
        <v>1</v>
      </c>
      <c r="C4" s="24"/>
      <c r="D4" s="24"/>
      <c r="E4" s="25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5" customHeight="1">
      <c r="A5" s="1"/>
      <c r="B5" s="2"/>
      <c r="C5" s="2"/>
      <c r="D5" s="2"/>
      <c r="E5" s="2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5" customHeight="1">
      <c r="A6" s="1"/>
      <c r="B6" s="3" t="s">
        <v>2</v>
      </c>
      <c r="C6" s="3" t="s">
        <v>3</v>
      </c>
      <c r="D6" s="3" t="s">
        <v>4</v>
      </c>
      <c r="E6" s="3" t="s">
        <v>5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5" customHeight="1">
      <c r="A7" s="1"/>
      <c r="B7" s="4" t="s">
        <v>6</v>
      </c>
      <c r="C7" s="4" t="s">
        <v>112</v>
      </c>
      <c r="D7" s="4" t="s">
        <v>113</v>
      </c>
      <c r="E7" s="4" t="s">
        <v>114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5" customHeight="1">
      <c r="A8" s="1"/>
      <c r="B8" s="4" t="s">
        <v>7</v>
      </c>
      <c r="C8" s="4" t="s">
        <v>115</v>
      </c>
      <c r="D8" s="4" t="s">
        <v>116</v>
      </c>
      <c r="E8" s="4" t="s">
        <v>117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5" customHeight="1">
      <c r="A9" s="1"/>
      <c r="B9" s="4" t="s">
        <v>8</v>
      </c>
      <c r="C9" s="4" t="s">
        <v>118</v>
      </c>
      <c r="D9" s="4" t="s">
        <v>119</v>
      </c>
      <c r="E9" s="4" t="s">
        <v>120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5" customHeight="1">
      <c r="A10" s="1"/>
      <c r="B10" s="4" t="s">
        <v>9</v>
      </c>
      <c r="C10" s="4" t="s">
        <v>121</v>
      </c>
      <c r="D10" s="4" t="s">
        <v>122</v>
      </c>
      <c r="E10" s="4" t="s">
        <v>123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5" customHeight="1">
      <c r="A11" s="1"/>
      <c r="B11" s="4" t="s">
        <v>10</v>
      </c>
      <c r="C11" s="4" t="s">
        <v>124</v>
      </c>
      <c r="D11" s="4" t="s">
        <v>125</v>
      </c>
      <c r="E11" s="4" t="s">
        <v>126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5" customHeight="1">
      <c r="A12" s="1"/>
      <c r="B12" s="4" t="s">
        <v>11</v>
      </c>
      <c r="C12" s="4" t="s">
        <v>127</v>
      </c>
      <c r="D12" s="4" t="s">
        <v>128</v>
      </c>
      <c r="E12" s="4" t="s">
        <v>129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5" customHeight="1">
      <c r="A14" s="1"/>
      <c r="B14" s="23" t="s">
        <v>12</v>
      </c>
      <c r="C14" s="24"/>
      <c r="D14" s="24"/>
      <c r="E14" s="25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5" customHeight="1">
      <c r="A15" s="1"/>
      <c r="B15" s="2"/>
      <c r="C15" s="2"/>
      <c r="D15" s="2"/>
      <c r="E15" s="2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5" customHeight="1">
      <c r="A16" s="1"/>
      <c r="B16" s="2"/>
      <c r="C16" s="32" t="s">
        <v>13</v>
      </c>
      <c r="D16" s="24"/>
      <c r="E16" s="25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5" customHeight="1">
      <c r="A17" s="1"/>
      <c r="B17" s="3" t="s">
        <v>2</v>
      </c>
      <c r="C17" s="3" t="s">
        <v>14</v>
      </c>
      <c r="D17" s="3" t="s">
        <v>15</v>
      </c>
      <c r="E17" s="3" t="s">
        <v>16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5" customHeight="1">
      <c r="A18" s="1"/>
      <c r="B18" s="4" t="s">
        <v>6</v>
      </c>
      <c r="C18" s="4">
        <f ca="1">RANDBETWEEN(50,90)</f>
        <v>51</v>
      </c>
      <c r="D18" s="4">
        <f ca="1">RANDBETWEEN(50,90)</f>
        <v>63</v>
      </c>
      <c r="E18" s="4">
        <f ca="1">RANDBETWEEN(50,90)</f>
        <v>53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9.5" customHeight="1">
      <c r="A19" s="1"/>
      <c r="B19" s="4" t="s">
        <v>7</v>
      </c>
      <c r="C19" s="4">
        <f t="shared" ref="C19:E23" ca="1" si="0">RANDBETWEEN(50,90)</f>
        <v>59</v>
      </c>
      <c r="D19" s="4">
        <f t="shared" ca="1" si="0"/>
        <v>55</v>
      </c>
      <c r="E19" s="4">
        <f t="shared" ca="1" si="0"/>
        <v>79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9.5" customHeight="1">
      <c r="A20" s="1"/>
      <c r="B20" s="4" t="s">
        <v>8</v>
      </c>
      <c r="C20" s="4">
        <f t="shared" ca="1" si="0"/>
        <v>70</v>
      </c>
      <c r="D20" s="4">
        <f t="shared" ca="1" si="0"/>
        <v>79</v>
      </c>
      <c r="E20" s="4">
        <f t="shared" ca="1" si="0"/>
        <v>70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9.5" customHeight="1">
      <c r="A21" s="1"/>
      <c r="B21" s="4" t="s">
        <v>9</v>
      </c>
      <c r="C21" s="4">
        <f t="shared" ca="1" si="0"/>
        <v>50</v>
      </c>
      <c r="D21" s="4">
        <f t="shared" ca="1" si="0"/>
        <v>87</v>
      </c>
      <c r="E21" s="4">
        <f t="shared" ca="1" si="0"/>
        <v>54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9.5" customHeight="1">
      <c r="A22" s="1"/>
      <c r="B22" s="4" t="s">
        <v>10</v>
      </c>
      <c r="C22" s="4">
        <f t="shared" ca="1" si="0"/>
        <v>65</v>
      </c>
      <c r="D22" s="4">
        <f t="shared" ca="1" si="0"/>
        <v>52</v>
      </c>
      <c r="E22" s="4">
        <f t="shared" ca="1" si="0"/>
        <v>50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9.5" customHeight="1">
      <c r="A23" s="1"/>
      <c r="B23" s="4" t="s">
        <v>11</v>
      </c>
      <c r="C23" s="4">
        <f t="shared" ca="1" si="0"/>
        <v>88</v>
      </c>
      <c r="D23" s="4">
        <f t="shared" ca="1" si="0"/>
        <v>58</v>
      </c>
      <c r="E23" s="4">
        <f t="shared" ca="1" si="0"/>
        <v>58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9.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9.5" customHeight="1">
      <c r="A25" s="1"/>
      <c r="B25" s="26" t="s">
        <v>17</v>
      </c>
      <c r="C25" s="24"/>
      <c r="D25" s="25"/>
      <c r="E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9.5" customHeight="1">
      <c r="A26" s="1"/>
      <c r="B26" s="2"/>
      <c r="C26" s="2"/>
      <c r="D26" s="2"/>
      <c r="E26" s="2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9.5" customHeight="1">
      <c r="A27" s="1"/>
      <c r="B27" s="5" t="s">
        <v>18</v>
      </c>
      <c r="C27" s="5" t="s">
        <v>19</v>
      </c>
      <c r="D27" s="5" t="s">
        <v>20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9.5" customHeight="1">
      <c r="A28" s="1"/>
      <c r="B28" s="6" t="s">
        <v>21</v>
      </c>
      <c r="C28" s="6">
        <v>40.417299999999997</v>
      </c>
      <c r="D28" s="6">
        <v>82.9071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9.5" customHeight="1">
      <c r="A29" s="1"/>
      <c r="B29" s="6" t="s">
        <v>22</v>
      </c>
      <c r="C29" s="6">
        <v>64.200800000000001</v>
      </c>
      <c r="D29" s="6">
        <v>149.49369999999999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9.5" customHeight="1">
      <c r="A30" s="1"/>
      <c r="B30" s="7"/>
      <c r="C30" s="7"/>
      <c r="D30" s="7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9.5" customHeight="1">
      <c r="A31" s="1"/>
      <c r="B31" s="5" t="s">
        <v>23</v>
      </c>
      <c r="C31" s="6">
        <f>2*6400*ASIN(SQRT((SIN(C28-C29)/2)^2+COS(C28)*COS(C29)*(SIN(C29-C28)/2)^2))</f>
        <v>5845.2550294261182</v>
      </c>
      <c r="D31" s="7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9.5" customHeight="1">
      <c r="A33" s="1"/>
      <c r="B33" s="23" t="s">
        <v>24</v>
      </c>
      <c r="C33" s="24"/>
      <c r="D33" s="25"/>
      <c r="E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9.5" customHeight="1">
      <c r="A34" s="1"/>
      <c r="B34" s="2"/>
      <c r="C34" s="2"/>
      <c r="D34" s="2"/>
      <c r="E34" s="2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9.5" customHeight="1">
      <c r="A35" s="1"/>
      <c r="B35" s="3" t="s">
        <v>25</v>
      </c>
      <c r="C35" s="3" t="s">
        <v>26</v>
      </c>
      <c r="D35" s="3" t="s">
        <v>27</v>
      </c>
      <c r="E35" s="1"/>
      <c r="F35" s="1"/>
      <c r="G35" s="1"/>
      <c r="H35" s="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9.5" customHeight="1">
      <c r="A36" s="1"/>
      <c r="B36" s="4">
        <v>1</v>
      </c>
      <c r="C36" s="38" t="s">
        <v>135</v>
      </c>
      <c r="D36" s="4"/>
      <c r="E36" s="1"/>
      <c r="F36" s="1"/>
      <c r="G36" s="1"/>
      <c r="H36" s="2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9.5" customHeight="1">
      <c r="A37" s="1"/>
      <c r="B37" s="4">
        <v>2</v>
      </c>
      <c r="C37" s="9" t="s">
        <v>136</v>
      </c>
      <c r="D37" s="4"/>
      <c r="E37" s="1"/>
      <c r="F37" s="1"/>
      <c r="G37" s="1"/>
      <c r="H37" s="2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9.5" customHeight="1">
      <c r="A38" s="1"/>
      <c r="B38" s="4">
        <v>3</v>
      </c>
      <c r="C38" s="9" t="s">
        <v>137</v>
      </c>
      <c r="D38" s="4"/>
      <c r="E38" s="1"/>
      <c r="F38" s="1"/>
      <c r="G38" s="1"/>
      <c r="H38" s="2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9.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9.5" customHeight="1">
      <c r="A40" s="1"/>
      <c r="B40" s="26" t="s">
        <v>28</v>
      </c>
      <c r="C40" s="24"/>
      <c r="D40" s="25"/>
      <c r="E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9.5" customHeight="1">
      <c r="A41" s="1"/>
      <c r="B41" s="2"/>
      <c r="C41" s="2"/>
      <c r="D41" s="2"/>
      <c r="E41" s="2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9.5" customHeight="1">
      <c r="A42" s="1"/>
      <c r="B42" s="5" t="s">
        <v>29</v>
      </c>
      <c r="C42" s="5" t="s">
        <v>30</v>
      </c>
      <c r="D42" s="1"/>
      <c r="E42" s="1"/>
      <c r="F42" s="1"/>
      <c r="G42" s="10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9.5" customHeight="1">
      <c r="A43" s="1"/>
      <c r="B43" s="6" t="s">
        <v>31</v>
      </c>
      <c r="C43" s="6" t="s">
        <v>79</v>
      </c>
      <c r="D43" s="1"/>
      <c r="E43" s="1"/>
      <c r="F43" s="1"/>
      <c r="G43" s="7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9.5" customHeight="1">
      <c r="A44" s="1"/>
      <c r="B44" s="6" t="s">
        <v>32</v>
      </c>
      <c r="C44" s="6" t="s">
        <v>118</v>
      </c>
      <c r="D44" s="1"/>
      <c r="E44" s="1"/>
      <c r="F44" s="1"/>
      <c r="G44" s="7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9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9.5" customHeight="1">
      <c r="A46" s="1"/>
      <c r="B46" s="23" t="s">
        <v>33</v>
      </c>
      <c r="C46" s="24"/>
      <c r="D46" s="25"/>
      <c r="E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9.5" customHeight="1">
      <c r="A47" s="1"/>
      <c r="B47" s="2"/>
      <c r="C47" s="2"/>
      <c r="D47" s="2"/>
      <c r="E47" s="2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9.5" customHeight="1">
      <c r="A48" s="1"/>
      <c r="B48" s="3" t="s">
        <v>2</v>
      </c>
      <c r="C48" s="3" t="s">
        <v>34</v>
      </c>
      <c r="D48" s="3" t="s">
        <v>18</v>
      </c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9.5" customHeight="1">
      <c r="A49" s="1"/>
      <c r="B49" s="6" t="s">
        <v>35</v>
      </c>
      <c r="C49" s="6" t="s">
        <v>36</v>
      </c>
      <c r="D49" s="6" t="s">
        <v>37</v>
      </c>
      <c r="E49" s="1"/>
      <c r="F49" s="1"/>
      <c r="G49" s="1"/>
      <c r="H49" s="8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9.5" customHeight="1">
      <c r="A50" s="1"/>
      <c r="B50" s="6" t="s">
        <v>38</v>
      </c>
      <c r="C50" s="6" t="s">
        <v>39</v>
      </c>
      <c r="D50" s="6" t="s">
        <v>40</v>
      </c>
      <c r="E50" s="1"/>
      <c r="F50" s="1"/>
      <c r="G50" s="1"/>
      <c r="H50" s="7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9.5" customHeight="1">
      <c r="A51" s="1"/>
      <c r="B51" s="6" t="s">
        <v>41</v>
      </c>
      <c r="C51" s="6" t="s">
        <v>39</v>
      </c>
      <c r="D51" s="6" t="s">
        <v>42</v>
      </c>
      <c r="E51" s="1"/>
      <c r="F51" s="1"/>
      <c r="G51" s="1"/>
      <c r="H51" s="7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9.5" customHeight="1">
      <c r="A52" s="1"/>
      <c r="B52" s="6" t="s">
        <v>43</v>
      </c>
      <c r="C52" s="6" t="s">
        <v>39</v>
      </c>
      <c r="D52" s="6" t="s">
        <v>44</v>
      </c>
      <c r="E52" s="1"/>
      <c r="F52" s="1"/>
      <c r="G52" s="1"/>
      <c r="H52" s="7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9.5" customHeight="1">
      <c r="A53" s="1"/>
      <c r="B53" s="6" t="s">
        <v>35</v>
      </c>
      <c r="C53" s="6" t="s">
        <v>36</v>
      </c>
      <c r="D53" s="6" t="s">
        <v>37</v>
      </c>
      <c r="E53" s="1"/>
      <c r="F53" s="1"/>
      <c r="G53" s="1"/>
      <c r="H53" s="7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9.5" customHeight="1">
      <c r="A54" s="1"/>
      <c r="B54" s="6" t="s">
        <v>45</v>
      </c>
      <c r="C54" s="6" t="s">
        <v>39</v>
      </c>
      <c r="D54" s="6" t="s">
        <v>46</v>
      </c>
      <c r="E54" s="1"/>
      <c r="F54" s="1"/>
      <c r="G54" s="1"/>
      <c r="H54" s="7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9.5" customHeight="1">
      <c r="A55" s="1"/>
      <c r="B55" s="6" t="s">
        <v>47</v>
      </c>
      <c r="C55" s="6" t="s">
        <v>39</v>
      </c>
      <c r="D55" s="6" t="s">
        <v>48</v>
      </c>
      <c r="E55" s="1"/>
      <c r="F55" s="1"/>
      <c r="G55" s="1"/>
      <c r="H55" s="7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9.5" customHeight="1">
      <c r="A56" s="1"/>
      <c r="B56" s="6" t="s">
        <v>43</v>
      </c>
      <c r="C56" s="6" t="s">
        <v>39</v>
      </c>
      <c r="D56" s="6" t="s">
        <v>44</v>
      </c>
      <c r="E56" s="1"/>
      <c r="F56" s="1"/>
      <c r="G56" s="1"/>
      <c r="H56" s="7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9.5" customHeight="1">
      <c r="A57" s="1"/>
      <c r="B57" s="1"/>
      <c r="C57" s="1"/>
      <c r="D57" s="1"/>
      <c r="E57" s="1"/>
      <c r="F57" s="1"/>
      <c r="G57" s="1"/>
      <c r="H57" s="7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9.5" customHeight="1">
      <c r="A58" s="1"/>
      <c r="B58" s="26" t="s">
        <v>49</v>
      </c>
      <c r="C58" s="24"/>
      <c r="D58" s="25"/>
      <c r="E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9.5" customHeight="1">
      <c r="A59" s="1"/>
      <c r="B59" s="2"/>
      <c r="C59" s="2"/>
      <c r="D59" s="2"/>
      <c r="E59" s="2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9.5" customHeight="1">
      <c r="A60" s="1"/>
      <c r="B60" s="11" t="s">
        <v>2</v>
      </c>
      <c r="C60" s="11" t="s">
        <v>50</v>
      </c>
      <c r="D60" s="11" t="s">
        <v>51</v>
      </c>
      <c r="E60" s="1"/>
      <c r="F60" s="35" t="s">
        <v>130</v>
      </c>
      <c r="G60" s="36"/>
      <c r="H60" s="36"/>
      <c r="I60" s="37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9.5" customHeight="1">
      <c r="A61" s="1"/>
      <c r="B61" s="6" t="s">
        <v>52</v>
      </c>
      <c r="C61" s="6" t="s">
        <v>53</v>
      </c>
      <c r="D61" s="6" t="s">
        <v>54</v>
      </c>
      <c r="E61" s="1"/>
      <c r="F61" s="34" t="s">
        <v>131</v>
      </c>
      <c r="G61" s="37"/>
      <c r="H61" s="37"/>
      <c r="I61" s="37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9.5" customHeight="1">
      <c r="A62" s="1"/>
      <c r="B62" s="6" t="s">
        <v>55</v>
      </c>
      <c r="C62" s="6" t="s">
        <v>56</v>
      </c>
      <c r="D62" s="6" t="s">
        <v>57</v>
      </c>
      <c r="E62" s="1"/>
      <c r="F62" s="34" t="s">
        <v>132</v>
      </c>
      <c r="G62" s="37"/>
      <c r="H62" s="37"/>
      <c r="I62" s="37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9.5" customHeight="1">
      <c r="A63" s="1"/>
      <c r="B63" s="6" t="s">
        <v>58</v>
      </c>
      <c r="C63" s="6" t="s">
        <v>59</v>
      </c>
      <c r="D63" s="6" t="s">
        <v>60</v>
      </c>
      <c r="E63" s="1"/>
      <c r="F63" s="34" t="s">
        <v>133</v>
      </c>
      <c r="G63" s="37"/>
      <c r="H63" s="37"/>
      <c r="I63" s="37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9.5" customHeight="1">
      <c r="A64" s="1"/>
      <c r="B64" s="6" t="s">
        <v>61</v>
      </c>
      <c r="C64" s="6" t="s">
        <v>62</v>
      </c>
      <c r="D64" s="6" t="s">
        <v>63</v>
      </c>
      <c r="E64" s="1"/>
      <c r="F64" s="34" t="s">
        <v>134</v>
      </c>
      <c r="G64" s="37"/>
      <c r="H64" s="37"/>
      <c r="I64" s="37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9.5" customHeight="1">
      <c r="A65" s="1"/>
      <c r="B65" s="6" t="s">
        <v>55</v>
      </c>
      <c r="C65" s="6" t="s">
        <v>56</v>
      </c>
      <c r="D65" s="6" t="s">
        <v>64</v>
      </c>
      <c r="E65" s="1"/>
      <c r="F65" s="34"/>
      <c r="G65" s="37"/>
      <c r="H65" s="37"/>
      <c r="I65" s="37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9.5" customHeight="1">
      <c r="A66" s="1"/>
      <c r="B66" s="6" t="s">
        <v>58</v>
      </c>
      <c r="C66" s="6" t="s">
        <v>59</v>
      </c>
      <c r="D66" s="6" t="s">
        <v>65</v>
      </c>
      <c r="E66" s="1"/>
      <c r="F66" s="1"/>
      <c r="G66" s="37"/>
      <c r="H66" s="37"/>
      <c r="I66" s="37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9.5" customHeight="1">
      <c r="A67" s="1"/>
      <c r="B67" s="1"/>
      <c r="C67" s="1"/>
      <c r="D67" s="1"/>
      <c r="E67" s="1"/>
      <c r="F67" s="1"/>
      <c r="G67" s="37"/>
      <c r="H67" s="37"/>
      <c r="I67" s="37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9.5" customHeight="1">
      <c r="A68" s="1"/>
      <c r="B68" s="23" t="s">
        <v>66</v>
      </c>
      <c r="C68" s="24"/>
      <c r="D68" s="25"/>
      <c r="E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9.5" customHeight="1">
      <c r="A69" s="1"/>
      <c r="B69" s="2"/>
      <c r="C69" s="2"/>
      <c r="D69" s="2"/>
      <c r="E69" s="2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9.5" customHeight="1">
      <c r="A70" s="1"/>
      <c r="B70" s="3" t="s">
        <v>2</v>
      </c>
      <c r="C70" s="3" t="s">
        <v>34</v>
      </c>
      <c r="D70" s="3" t="s">
        <v>18</v>
      </c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9.5" customHeight="1">
      <c r="A71" s="1"/>
      <c r="B71" s="6" t="s">
        <v>35</v>
      </c>
      <c r="C71" s="6" t="s">
        <v>36</v>
      </c>
      <c r="D71" s="6" t="s">
        <v>37</v>
      </c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9.5" customHeight="1">
      <c r="A72" s="1"/>
      <c r="B72" s="6" t="s">
        <v>38</v>
      </c>
      <c r="C72" s="6" t="s">
        <v>39</v>
      </c>
      <c r="D72" s="6" t="s">
        <v>40</v>
      </c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9.5" customHeight="1">
      <c r="A73" s="1"/>
      <c r="B73" s="6" t="s">
        <v>41</v>
      </c>
      <c r="C73" s="6" t="s">
        <v>39</v>
      </c>
      <c r="D73" s="6" t="s">
        <v>42</v>
      </c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9.5" customHeight="1">
      <c r="A74" s="1"/>
      <c r="B74" s="6" t="s">
        <v>43</v>
      </c>
      <c r="C74" s="6" t="s">
        <v>39</v>
      </c>
      <c r="D74" s="6" t="s">
        <v>44</v>
      </c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9.5" customHeight="1">
      <c r="A75" s="1"/>
      <c r="B75" s="6" t="s">
        <v>35</v>
      </c>
      <c r="C75" s="6" t="s">
        <v>36</v>
      </c>
      <c r="D75" s="6" t="s">
        <v>37</v>
      </c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9.5" customHeight="1">
      <c r="A76" s="1"/>
      <c r="B76" s="6" t="s">
        <v>45</v>
      </c>
      <c r="C76" s="6" t="s">
        <v>39</v>
      </c>
      <c r="D76" s="6" t="s">
        <v>46</v>
      </c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9.5" customHeight="1">
      <c r="A77" s="1"/>
      <c r="B77" s="6" t="s">
        <v>47</v>
      </c>
      <c r="C77" s="6" t="s">
        <v>39</v>
      </c>
      <c r="D77" s="6" t="s">
        <v>48</v>
      </c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9.5" customHeight="1">
      <c r="A78" s="1"/>
      <c r="B78" s="6" t="s">
        <v>43</v>
      </c>
      <c r="C78" s="6" t="s">
        <v>39</v>
      </c>
      <c r="D78" s="6" t="s">
        <v>44</v>
      </c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87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9.5" customHeight="1">
      <c r="A80" s="1"/>
      <c r="B80" s="26" t="s">
        <v>67</v>
      </c>
      <c r="C80" s="24"/>
      <c r="D80" s="24"/>
      <c r="E80" s="25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9.5" customHeight="1">
      <c r="A81" s="1"/>
      <c r="B81" s="2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9.5" customHeight="1">
      <c r="A82" s="1"/>
      <c r="B82" s="12" t="s">
        <v>2</v>
      </c>
      <c r="C82" s="13" t="s">
        <v>52</v>
      </c>
      <c r="D82" s="13" t="s">
        <v>55</v>
      </c>
      <c r="E82" s="14" t="s">
        <v>58</v>
      </c>
      <c r="F82" s="1"/>
      <c r="G82" s="1"/>
      <c r="H82" s="12" t="s">
        <v>2</v>
      </c>
      <c r="I82" s="13" t="s">
        <v>52</v>
      </c>
      <c r="J82" s="13" t="s">
        <v>55</v>
      </c>
      <c r="K82" s="14" t="s">
        <v>58</v>
      </c>
      <c r="L82" s="1"/>
      <c r="M82" s="1"/>
      <c r="N82" s="1"/>
      <c r="O82" s="12" t="s">
        <v>2</v>
      </c>
      <c r="P82" s="12" t="s">
        <v>50</v>
      </c>
      <c r="Q82" s="15" t="s">
        <v>51</v>
      </c>
      <c r="R82" s="1"/>
      <c r="S82" s="1"/>
      <c r="T82" s="1"/>
      <c r="U82" s="1"/>
      <c r="V82" s="1"/>
      <c r="W82" s="1"/>
      <c r="X82" s="1"/>
      <c r="Y82" s="1"/>
      <c r="Z82" s="1"/>
    </row>
    <row r="83" spans="1:26" ht="19.5" customHeight="1">
      <c r="A83" s="1"/>
      <c r="B83" s="12" t="s">
        <v>50</v>
      </c>
      <c r="C83" s="13" t="s">
        <v>53</v>
      </c>
      <c r="D83" s="13" t="s">
        <v>56</v>
      </c>
      <c r="E83" s="14" t="s">
        <v>59</v>
      </c>
      <c r="F83" s="1"/>
      <c r="G83" s="1"/>
      <c r="H83" s="12" t="s">
        <v>50</v>
      </c>
      <c r="I83" s="13" t="s">
        <v>53</v>
      </c>
      <c r="J83" s="13" t="s">
        <v>56</v>
      </c>
      <c r="K83" s="14" t="s">
        <v>59</v>
      </c>
      <c r="L83" s="1"/>
      <c r="M83" s="1"/>
      <c r="N83" s="1"/>
      <c r="O83" s="13" t="s">
        <v>52</v>
      </c>
      <c r="P83" s="13" t="s">
        <v>53</v>
      </c>
      <c r="Q83" s="16" t="s">
        <v>54</v>
      </c>
      <c r="R83" s="1"/>
      <c r="S83" s="1"/>
      <c r="T83" s="1"/>
      <c r="U83" s="1"/>
      <c r="V83" s="1"/>
      <c r="W83" s="1"/>
      <c r="X83" s="1"/>
      <c r="Y83" s="1"/>
      <c r="Z83" s="1"/>
    </row>
    <row r="84" spans="1:26" ht="19.5" customHeight="1">
      <c r="A84" s="1"/>
      <c r="B84" s="15" t="s">
        <v>51</v>
      </c>
      <c r="C84" s="16" t="s">
        <v>54</v>
      </c>
      <c r="D84" s="16" t="s">
        <v>57</v>
      </c>
      <c r="E84" s="17" t="s">
        <v>60</v>
      </c>
      <c r="F84" s="1"/>
      <c r="G84" s="1"/>
      <c r="H84" s="15" t="s">
        <v>51</v>
      </c>
      <c r="I84" s="16" t="s">
        <v>54</v>
      </c>
      <c r="J84" s="16" t="s">
        <v>57</v>
      </c>
      <c r="K84" s="17" t="s">
        <v>60</v>
      </c>
      <c r="L84" s="1"/>
      <c r="M84" s="1"/>
      <c r="N84" s="1"/>
      <c r="O84" s="13" t="s">
        <v>55</v>
      </c>
      <c r="P84" s="13" t="s">
        <v>56</v>
      </c>
      <c r="Q84" s="16" t="s">
        <v>57</v>
      </c>
      <c r="R84" s="1"/>
      <c r="S84" s="1"/>
      <c r="T84" s="1"/>
      <c r="U84" s="1"/>
      <c r="V84" s="1"/>
      <c r="W84" s="1"/>
      <c r="X84" s="1"/>
      <c r="Y84" s="1"/>
      <c r="Z84" s="1"/>
    </row>
    <row r="85" spans="1:26" ht="54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4" t="s">
        <v>58</v>
      </c>
      <c r="P85" s="14" t="s">
        <v>59</v>
      </c>
      <c r="Q85" s="17" t="s">
        <v>60</v>
      </c>
      <c r="R85" s="1"/>
      <c r="S85" s="1"/>
      <c r="T85" s="1"/>
      <c r="U85" s="1"/>
      <c r="V85" s="1"/>
      <c r="W85" s="1"/>
      <c r="X85" s="1"/>
      <c r="Y85" s="1"/>
      <c r="Z85" s="1"/>
    </row>
    <row r="86" spans="1:26" ht="19.5" customHeight="1">
      <c r="A86" s="1"/>
      <c r="B86" s="23" t="s">
        <v>68</v>
      </c>
      <c r="C86" s="24"/>
      <c r="D86" s="24"/>
      <c r="E86" s="24"/>
      <c r="F86" s="25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9.5" customHeight="1">
      <c r="A87" s="1"/>
      <c r="B87" s="2"/>
      <c r="C87" s="2"/>
      <c r="D87" s="2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9.5" customHeight="1">
      <c r="A88" s="1"/>
      <c r="B88" s="27" t="s">
        <v>69</v>
      </c>
      <c r="C88" s="25"/>
      <c r="D88" s="18"/>
      <c r="E88" s="28" t="s">
        <v>70</v>
      </c>
      <c r="F88" s="25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9.5" customHeight="1">
      <c r="A89" s="1"/>
      <c r="B89" s="19" t="s">
        <v>71</v>
      </c>
      <c r="C89" s="19">
        <v>0</v>
      </c>
      <c r="D89" s="18"/>
      <c r="E89" s="19" t="s">
        <v>72</v>
      </c>
      <c r="F89" s="19">
        <v>80</v>
      </c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9.5" customHeight="1">
      <c r="A90" s="1"/>
      <c r="B90" s="19" t="s">
        <v>73</v>
      </c>
      <c r="C90" s="19">
        <v>10</v>
      </c>
      <c r="D90" s="18"/>
      <c r="E90" s="19" t="s">
        <v>70</v>
      </c>
      <c r="F90" s="19">
        <v>3</v>
      </c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9.5" customHeight="1">
      <c r="A91" s="1"/>
      <c r="B91" s="19" t="s">
        <v>74</v>
      </c>
      <c r="C91" s="19">
        <v>30</v>
      </c>
      <c r="D91" s="18"/>
      <c r="E91" s="19" t="s">
        <v>75</v>
      </c>
      <c r="F91" s="19">
        <f>200-F89-F90</f>
        <v>117</v>
      </c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9.5" customHeight="1">
      <c r="A92" s="1"/>
      <c r="B92" s="19" t="s">
        <v>75</v>
      </c>
      <c r="C92" s="19">
        <v>70</v>
      </c>
      <c r="D92" s="18"/>
      <c r="E92" s="18"/>
      <c r="F92" s="18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9.5" customHeight="1">
      <c r="A93" s="1"/>
      <c r="B93" s="19" t="s">
        <v>76</v>
      </c>
      <c r="C93" s="19">
        <v>100</v>
      </c>
      <c r="D93" s="18"/>
      <c r="E93" s="18"/>
      <c r="F93" s="18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71.2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9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9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9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9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9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9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9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9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9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9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9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9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9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9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9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9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9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9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9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9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9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9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9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9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9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9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9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9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9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9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9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9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9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9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9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9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9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9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9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9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9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9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9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9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9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9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9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9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9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9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9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9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9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9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9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9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9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9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9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9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9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9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9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9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9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9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9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9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9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9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9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9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9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9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9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9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9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9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9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9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9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9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9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9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9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9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9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9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9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9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9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9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9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9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9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9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9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9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9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9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9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9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9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9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9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9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9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9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9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9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9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9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9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9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9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9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9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9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9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9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9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9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9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9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9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9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9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9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9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9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9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9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9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9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9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9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9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9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9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9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9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9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9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9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9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9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9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9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9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9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9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9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9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9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9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9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9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9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9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9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9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9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9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9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9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9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9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9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9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9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9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9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9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9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9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9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9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9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9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9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9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9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9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9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9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9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9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9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9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9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9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9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9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9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9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9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9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9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9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9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9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9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9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9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9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9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9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9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9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9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9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9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9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9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9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9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9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9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9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9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9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9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9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9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9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9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9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9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9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9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9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9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9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9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9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9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9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9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9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9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9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9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9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9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9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9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9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9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9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9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9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9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9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9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9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9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9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9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9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9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9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9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9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9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9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9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9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9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9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9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9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9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9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9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9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9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9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9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9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9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9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9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9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9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9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9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9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9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9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9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9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9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9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9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9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9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9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9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9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9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9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9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9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9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9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9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9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9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9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9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9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9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9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9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9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9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9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9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9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9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9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9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9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9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9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9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9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9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9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9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9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9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9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9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9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9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9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9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9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9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9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9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9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9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9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9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9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9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9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9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9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9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9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9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9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9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9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9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9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9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9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9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9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9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9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9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9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9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9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9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9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9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9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9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9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9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9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9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9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9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9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9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9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9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9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9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9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9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9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9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9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9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9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9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9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9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9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9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9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9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9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9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9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9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9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9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9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9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9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9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9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9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9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9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9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9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9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9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9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9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9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9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9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9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9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9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9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9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9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9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9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9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9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9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9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9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9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9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9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9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9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9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9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9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9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9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9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9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9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9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9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9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9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9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9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9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9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9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9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9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9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9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9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9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9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9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9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9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9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9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9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9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9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9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9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9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9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9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9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9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9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9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9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9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9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9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9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9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9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9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9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9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9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9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9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9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9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9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9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9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9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9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9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9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9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9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9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9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9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9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9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9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9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9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9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9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9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9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9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9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9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9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9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9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9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9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9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9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9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9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9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9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9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9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9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9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9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9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9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9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9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9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9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9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9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9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9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9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9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9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9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9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9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9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9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9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9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9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9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9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9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9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9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9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9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9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9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9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9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9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9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9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9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9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9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9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9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9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9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9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9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9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9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9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9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9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9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9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9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9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9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9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9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9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9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9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9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9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9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9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9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9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9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9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9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9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9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9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9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9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9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9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9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9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9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9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9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9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9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9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9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9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9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9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9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9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9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9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9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9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9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9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9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9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9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9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9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9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9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9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9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9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9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9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9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9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9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9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9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9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9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9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9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9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9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9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9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9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9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9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9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9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9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9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9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9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9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9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9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9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9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9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9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9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9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9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9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9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9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9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9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9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9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9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9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9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9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9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9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9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9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9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9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9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9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9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9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9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9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9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9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9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9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9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9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9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9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9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9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9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9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9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9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9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9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9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9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9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9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9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9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9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9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9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9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9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9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9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9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9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9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9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9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9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9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9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9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9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9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9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9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9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9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9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9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9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9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9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9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9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9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9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9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9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9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9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9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9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9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9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9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9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9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9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9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9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9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9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9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9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9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9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9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9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9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9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9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9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9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9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9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9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9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9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9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9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9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9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9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9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9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9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9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9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9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9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9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9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9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9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9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9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9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9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9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9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9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9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9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9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9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9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9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9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9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9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9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9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9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9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9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9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9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9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9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9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9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9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9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9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9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9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9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9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9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9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9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9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9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9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9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9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9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9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9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9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9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9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9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9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9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9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9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9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9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9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9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9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9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9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9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9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9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9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9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9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9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9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9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9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9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9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9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9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9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9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9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9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9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9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9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9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9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9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9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9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9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9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9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9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9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9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9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9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9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9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9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9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9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9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9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9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9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9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9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9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4">
    <mergeCell ref="B88:C88"/>
    <mergeCell ref="E88:F88"/>
    <mergeCell ref="B2:E2"/>
    <mergeCell ref="B4:E4"/>
    <mergeCell ref="B14:E14"/>
    <mergeCell ref="C16:E16"/>
    <mergeCell ref="B25:D25"/>
    <mergeCell ref="B33:D33"/>
    <mergeCell ref="B40:D40"/>
    <mergeCell ref="B46:D46"/>
    <mergeCell ref="B58:D58"/>
    <mergeCell ref="B68:D68"/>
    <mergeCell ref="B80:E80"/>
    <mergeCell ref="B86:F86"/>
  </mergeCells>
  <conditionalFormatting sqref="B48:E56">
    <cfRule type="duplicateValues" dxfId="1" priority="2"/>
  </conditionalFormatting>
  <conditionalFormatting sqref="B61:E66">
    <cfRule type="duplicateValues" dxfId="0" priority="1"/>
  </conditionalFormatting>
  <dataValidations count="2">
    <dataValidation type="list" allowBlank="1" showInputMessage="1" showErrorMessage="1" sqref="C43" xr:uid="{B97081DA-4BB7-E640-A0F9-524B5E7D34F9}">
      <formula1>Drinks</formula1>
    </dataValidation>
    <dataValidation type="list" allowBlank="1" showInputMessage="1" showErrorMessage="1" sqref="C44" xr:uid="{E951E7EC-5425-654E-B8CB-10F0AFC4AB37}">
      <formula1>$C$7:$C$12</formula1>
    </dataValidation>
  </dataValidations>
  <hyperlinks>
    <hyperlink ref="C36" r:id="rId1" xr:uid="{A09CC3D4-CBB8-9D4A-9663-ACFC70D037A6}"/>
  </hyperlinks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00"/>
  <sheetViews>
    <sheetView showGridLines="0" workbookViewId="0">
      <selection activeCell="C30" sqref="C30"/>
    </sheetView>
  </sheetViews>
  <sheetFormatPr baseColWidth="10" defaultColWidth="14.5" defaultRowHeight="15" customHeight="1"/>
  <cols>
    <col min="1" max="1" width="3.6640625" customWidth="1"/>
    <col min="2" max="2" width="25.5" customWidth="1"/>
    <col min="3" max="3" width="22.5" customWidth="1"/>
    <col min="4" max="4" width="58.6640625" customWidth="1"/>
    <col min="5" max="5" width="11.6640625" customWidth="1"/>
    <col min="6" max="6" width="12.33203125" customWidth="1"/>
    <col min="7" max="26" width="9.1640625" customWidth="1"/>
  </cols>
  <sheetData>
    <row r="1" spans="1:26" ht="19.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9.5" customHeight="1">
      <c r="A2" s="1"/>
      <c r="B2" s="29" t="s">
        <v>77</v>
      </c>
      <c r="C2" s="3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5" customHeight="1">
      <c r="A4" s="1"/>
      <c r="B4" s="33" t="s">
        <v>78</v>
      </c>
      <c r="C4" s="2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5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5" customHeight="1">
      <c r="A6" s="1"/>
      <c r="B6" s="20" t="s">
        <v>31</v>
      </c>
      <c r="C6" s="20" t="s">
        <v>32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5" customHeight="1">
      <c r="A7" s="1"/>
      <c r="B7" s="6" t="s">
        <v>79</v>
      </c>
      <c r="C7" s="6" t="s">
        <v>80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5" customHeight="1">
      <c r="A8" s="1"/>
      <c r="B8" s="6" t="s">
        <v>81</v>
      </c>
      <c r="C8" s="6" t="s">
        <v>82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5" customHeight="1">
      <c r="A9" s="1"/>
      <c r="B9" s="6" t="s">
        <v>83</v>
      </c>
      <c r="C9" s="6" t="s">
        <v>84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5" customHeight="1">
      <c r="A10" s="1"/>
      <c r="B10" s="6" t="s">
        <v>85</v>
      </c>
      <c r="C10" s="6" t="s">
        <v>86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5" customHeight="1">
      <c r="A11" s="1"/>
      <c r="B11" s="6" t="s">
        <v>87</v>
      </c>
      <c r="C11" s="6" t="s">
        <v>88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5" customHeight="1">
      <c r="A12" s="1"/>
      <c r="B12" s="6" t="s">
        <v>89</v>
      </c>
      <c r="C12" s="6" t="s">
        <v>90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5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5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9.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9.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9.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9.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9.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9.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9.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9.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9.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9.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9.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9.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9.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9.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9.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9.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9.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9.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9.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9.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9.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9.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9.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9.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9.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9.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9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9.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9.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9.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9.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9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9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9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9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9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9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9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9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9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9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9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9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9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9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9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9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9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9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9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9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9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9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9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9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9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9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9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9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9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9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9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9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9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9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9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9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9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9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9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9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9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9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9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9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9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9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9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9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9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9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9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9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9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9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9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9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9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9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9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9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9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9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9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9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9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9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9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9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9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9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9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9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9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9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9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9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9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9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9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9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9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9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9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9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9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9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9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9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9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9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9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9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9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9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9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9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9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9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9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9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9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9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9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9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9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9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9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9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9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9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9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9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9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9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9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9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9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9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9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9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9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9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9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9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9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9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9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9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9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9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9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9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9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9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9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9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9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9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9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9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9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9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9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9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9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9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9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9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9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9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9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9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9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9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9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9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9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9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9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9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9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9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9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9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9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9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9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9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9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9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9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9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9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9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9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9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9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9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9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9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9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9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9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9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9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9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9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9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9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9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9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9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9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9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9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9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9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9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9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9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9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9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9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9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9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9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9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9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9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9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9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9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9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9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9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9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9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9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9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9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9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9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9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9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9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9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9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9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9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9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9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9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9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9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9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9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9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9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9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9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9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9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9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9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9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9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9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9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9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9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9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9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9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9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9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9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9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9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9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9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9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9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9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9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9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9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9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9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9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9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9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9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9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9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9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9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9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9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9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9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9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9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9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9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9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9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9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9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9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9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9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9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9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9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9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9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9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9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9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9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9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9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9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9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9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9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9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9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9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9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9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9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9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9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9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9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9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9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9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9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9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9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9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9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9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9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9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9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9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9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9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9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9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9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9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9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9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9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9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9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9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9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9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9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9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9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9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9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9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9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9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9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9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9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9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9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9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9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9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9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9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9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9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9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9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9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9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9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9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9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9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9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9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9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9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9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9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9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9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9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9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9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9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9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9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9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9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9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9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9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9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9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9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9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9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9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9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9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9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9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9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9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9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9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9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9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9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9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9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9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9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9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9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9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9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9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9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9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9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9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9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9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9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9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9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9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9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9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9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9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9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9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9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9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9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9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9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9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9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9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9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9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9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9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9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9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9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9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9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9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9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9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9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9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9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9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9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9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9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9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9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9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9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9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9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9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9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9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9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9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9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9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9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9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9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9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9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9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9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9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9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9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9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9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9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9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9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9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9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9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9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9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9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9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9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9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9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9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9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9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9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9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9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9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9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9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9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9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9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9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9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9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9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9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9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9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9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9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9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9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9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9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9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9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9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9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9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9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9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9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9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9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9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9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9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9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9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9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9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9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9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9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9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9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9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9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9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9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9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9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9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9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9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9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9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9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9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9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9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9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9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9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9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9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9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9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9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9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9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9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9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9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9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9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9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9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9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9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9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9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9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9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9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9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9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9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9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9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9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9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9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9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9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9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9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9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9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9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9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9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9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9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9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9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9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9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9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9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9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9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9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9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9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9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9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9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9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9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9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9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9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9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9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9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9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9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9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9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9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9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9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9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9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9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9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9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9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9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9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9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9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9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9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9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9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9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9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9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9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9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9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9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9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9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9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9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9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9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9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9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9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9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9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9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9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9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9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9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9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9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9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9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9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9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9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9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9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9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9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9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9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9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9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9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9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9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9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9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9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9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9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9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9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9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9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9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9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9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9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9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9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9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9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9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9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9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9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9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9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9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9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9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9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9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9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9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9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9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9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9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9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9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9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9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9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9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9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9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9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9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9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9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9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9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9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9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9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9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9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9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9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9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9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9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9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9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9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9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9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9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9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9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9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9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9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9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9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9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9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9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9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9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9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9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9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9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9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9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9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9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9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9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9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9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9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9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9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9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9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9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9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9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9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9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9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9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9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9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9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9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9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9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9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9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9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9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9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9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9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9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9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9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9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9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9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9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9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9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9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9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9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9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9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9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9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9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9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9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9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9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9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9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9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9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9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9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9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9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9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9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9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9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9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9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9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9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9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9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9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9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9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9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9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9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9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9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9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9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9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9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9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9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9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9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9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9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9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9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9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9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9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9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9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9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9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9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9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9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9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9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9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9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9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9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9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9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9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9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9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9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9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9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9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9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9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9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9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9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9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9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9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9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9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9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9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9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9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9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9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9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9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9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9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9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9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9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9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9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9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9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9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9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9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9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9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9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9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9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9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9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9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9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9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9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9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9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9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9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9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9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9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9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9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9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9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9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9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9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9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9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9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9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9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9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9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9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9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9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9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9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9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B2:C2"/>
    <mergeCell ref="B4:C4"/>
  </mergeCells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1000"/>
  <sheetViews>
    <sheetView workbookViewId="0">
      <selection activeCell="C28" sqref="C28"/>
    </sheetView>
  </sheetViews>
  <sheetFormatPr baseColWidth="10" defaultColWidth="14.5" defaultRowHeight="15" customHeight="1"/>
  <cols>
    <col min="1" max="26" width="10.6640625" customWidth="1"/>
  </cols>
  <sheetData>
    <row r="1" spans="1:1" ht="22">
      <c r="A1" s="21" t="s">
        <v>91</v>
      </c>
    </row>
    <row r="2" spans="1:1" ht="22">
      <c r="A2" s="22" t="s">
        <v>92</v>
      </c>
    </row>
    <row r="3" spans="1:1" ht="22">
      <c r="A3" s="22" t="s">
        <v>93</v>
      </c>
    </row>
    <row r="4" spans="1:1" ht="22">
      <c r="A4" s="21" t="s">
        <v>94</v>
      </c>
    </row>
    <row r="5" spans="1:1" ht="22">
      <c r="A5" s="22" t="s">
        <v>95</v>
      </c>
    </row>
    <row r="6" spans="1:1" ht="22">
      <c r="A6" s="21" t="s">
        <v>96</v>
      </c>
    </row>
    <row r="7" spans="1:1" ht="22">
      <c r="A7" s="22" t="s">
        <v>97</v>
      </c>
    </row>
    <row r="8" spans="1:1" ht="22">
      <c r="A8" s="21" t="s">
        <v>98</v>
      </c>
    </row>
    <row r="9" spans="1:1" ht="22">
      <c r="A9" s="22" t="s">
        <v>99</v>
      </c>
    </row>
    <row r="10" spans="1:1" ht="22">
      <c r="A10" s="21" t="s">
        <v>100</v>
      </c>
    </row>
    <row r="11" spans="1:1" ht="22">
      <c r="A11" s="22" t="s">
        <v>101</v>
      </c>
    </row>
    <row r="12" spans="1:1" ht="22">
      <c r="A12" s="21" t="s">
        <v>102</v>
      </c>
    </row>
    <row r="13" spans="1:1" ht="22">
      <c r="A13" s="22" t="s">
        <v>103</v>
      </c>
    </row>
    <row r="14" spans="1:1" ht="22">
      <c r="A14" s="21" t="s">
        <v>104</v>
      </c>
    </row>
    <row r="15" spans="1:1" ht="22">
      <c r="A15" s="22" t="s">
        <v>105</v>
      </c>
    </row>
    <row r="16" spans="1:1" ht="22">
      <c r="A16" s="21" t="s">
        <v>106</v>
      </c>
    </row>
    <row r="17" spans="1:1" ht="22">
      <c r="A17" s="22" t="s">
        <v>107</v>
      </c>
    </row>
    <row r="18" spans="1:1" ht="22">
      <c r="A18" s="21" t="s">
        <v>108</v>
      </c>
    </row>
    <row r="19" spans="1:1" ht="22">
      <c r="A19" s="22" t="s">
        <v>109</v>
      </c>
    </row>
    <row r="20" spans="1:1" ht="22">
      <c r="A20" s="21" t="s">
        <v>110</v>
      </c>
    </row>
    <row r="21" spans="1:1" ht="15.75" customHeight="1">
      <c r="A21" s="22" t="s">
        <v>111</v>
      </c>
    </row>
    <row r="22" spans="1:1" ht="15.75" customHeight="1"/>
    <row r="23" spans="1:1" ht="15.75" customHeight="1"/>
    <row r="24" spans="1:1" ht="15.75" customHeight="1"/>
    <row r="25" spans="1:1" ht="15.75" customHeight="1"/>
    <row r="26" spans="1:1" ht="15.75" customHeight="1"/>
    <row r="27" spans="1:1" ht="15.75" customHeight="1"/>
    <row r="28" spans="1:1" ht="15.75" customHeight="1"/>
    <row r="29" spans="1:1" ht="15.75" customHeight="1"/>
    <row r="30" spans="1:1" ht="15.75" customHeight="1"/>
    <row r="31" spans="1:1" ht="15.75" customHeight="1"/>
    <row r="32" spans="1:1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267C9FA-5EE5-8544-88C1-24DEFC5EFE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Problem</vt:lpstr>
      <vt:lpstr>Reference Table</vt:lpstr>
      <vt:lpstr>ProblemQ</vt:lpstr>
      <vt:lpstr>Chips</vt:lpstr>
      <vt:lpstr>Drinks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Rafi</dc:creator>
  <cp:lastModifiedBy>DA_M1_47</cp:lastModifiedBy>
  <dcterms:created xsi:type="dcterms:W3CDTF">2015-06-05T18:17:20Z</dcterms:created>
  <dcterms:modified xsi:type="dcterms:W3CDTF">2023-08-14T05:53:04Z</dcterms:modified>
</cp:coreProperties>
</file>